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29"/>
  <workbookPr showInkAnnotation="0" autoCompressPictures="0"/>
  <mc:AlternateContent xmlns:mc="http://schemas.openxmlformats.org/markup-compatibility/2006">
    <mc:Choice Requires="x15">
      <x15ac:absPath xmlns:x15ac="http://schemas.microsoft.com/office/spreadsheetml/2010/11/ac" url="https://iibaoffice365-my.sharepoint.com/personal/jared_gorai_iiba_org/Documents/Documents/Chapter Docs/"/>
    </mc:Choice>
  </mc:AlternateContent>
  <xr:revisionPtr revIDLastSave="0" documentId="8_{07CCFE4B-2E4A-4FE3-8CAD-29251663815F}" xr6:coauthVersionLast="47" xr6:coauthVersionMax="47" xr10:uidLastSave="{00000000-0000-0000-0000-000000000000}"/>
  <bookViews>
    <workbookView xWindow="-120" yWindow="-120" windowWidth="29040" windowHeight="15840" tabRatio="500" xr2:uid="{00000000-000D-0000-FFFF-FFFF00000000}"/>
  </bookViews>
  <sheets>
    <sheet name="Instructions" sheetId="3" r:id="rId1"/>
    <sheet name="Annual Budget" sheetId="1" r:id="rId2"/>
    <sheet name="Budget Example" sheetId="19" r:id="rId3"/>
  </sheets>
  <definedNames>
    <definedName name="_xlnm.Print_Area" localSheetId="1">'Annual Budget'!$B$1:$F$39</definedName>
    <definedName name="_xlnm.Print_Area" localSheetId="2">'Budget Example'!$B$1:$F$39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7" i="19" l="1"/>
  <c r="C37" i="19"/>
  <c r="E35" i="19"/>
  <c r="E34" i="19"/>
  <c r="E33" i="19"/>
  <c r="E32" i="19"/>
  <c r="E31" i="19"/>
  <c r="E30" i="19"/>
  <c r="E29" i="19"/>
  <c r="E28" i="19"/>
  <c r="E27" i="19"/>
  <c r="E26" i="19"/>
  <c r="E37" i="19" s="1"/>
  <c r="F22" i="19"/>
  <c r="D22" i="19"/>
  <c r="D39" i="19" s="1"/>
  <c r="E20" i="19"/>
  <c r="E19" i="19"/>
  <c r="E18" i="19"/>
  <c r="E17" i="19"/>
  <c r="E16" i="19"/>
  <c r="E15" i="19"/>
  <c r="C14" i="19"/>
  <c r="E14" i="19" s="1"/>
  <c r="E13" i="19"/>
  <c r="E12" i="19"/>
  <c r="C12" i="19"/>
  <c r="C22" i="19" s="1"/>
  <c r="E11" i="19"/>
  <c r="D6" i="19"/>
  <c r="C6" i="19"/>
  <c r="E6" i="19" s="1"/>
  <c r="F2" i="19"/>
  <c r="F2" i="1"/>
  <c r="E31" i="1"/>
  <c r="E32" i="1"/>
  <c r="E33" i="1"/>
  <c r="E27" i="1"/>
  <c r="E28" i="1"/>
  <c r="E29" i="1"/>
  <c r="E30" i="1"/>
  <c r="E34" i="1"/>
  <c r="E35" i="1"/>
  <c r="E26" i="1"/>
  <c r="E15" i="1"/>
  <c r="E16" i="1"/>
  <c r="E18" i="1"/>
  <c r="D5" i="19" l="1"/>
  <c r="D7" i="19" s="1"/>
  <c r="C5" i="19"/>
  <c r="C39" i="19"/>
  <c r="E22" i="19"/>
  <c r="E39" i="19" s="1"/>
  <c r="E20" i="1"/>
  <c r="E19" i="1"/>
  <c r="E17" i="1"/>
  <c r="C7" i="19" l="1"/>
  <c r="E7" i="19" s="1"/>
  <c r="E5" i="19"/>
  <c r="E37" i="1"/>
  <c r="D37" i="1" l="1"/>
  <c r="D6" i="1" s="1"/>
  <c r="C37" i="1"/>
  <c r="C6" i="1" s="1"/>
  <c r="D22" i="1"/>
  <c r="C22" i="1"/>
  <c r="E14" i="1"/>
  <c r="E13" i="1"/>
  <c r="E12" i="1"/>
  <c r="E11" i="1"/>
  <c r="F22" i="1" s="1"/>
  <c r="D39" i="1" l="1"/>
  <c r="D5" i="1"/>
  <c r="D7" i="1" s="1"/>
  <c r="E22" i="1"/>
  <c r="E39" i="1" s="1"/>
  <c r="C5" i="1"/>
  <c r="C7" i="1" s="1"/>
  <c r="C39" i="1"/>
  <c r="E7" i="1" l="1"/>
  <c r="E5" i="1"/>
  <c r="E6" i="1"/>
</calcChain>
</file>

<file path=xl/sharedStrings.xml><?xml version="1.0" encoding="utf-8"?>
<sst xmlns="http://schemas.openxmlformats.org/spreadsheetml/2006/main" count="121" uniqueCount="67">
  <si>
    <t>BUDGET</t>
  </si>
  <si>
    <t>ACTUAL</t>
  </si>
  <si>
    <t>UNDER/OVER</t>
  </si>
  <si>
    <t>Task</t>
  </si>
  <si>
    <t>TOTAL</t>
  </si>
  <si>
    <t>SUMMARY</t>
  </si>
  <si>
    <t>Total Income</t>
  </si>
  <si>
    <t>Total Expenses</t>
  </si>
  <si>
    <t>INCOME</t>
  </si>
  <si>
    <t>OPERATING INCOME</t>
  </si>
  <si>
    <t>EXPENSES</t>
  </si>
  <si>
    <t>Office Supplies</t>
  </si>
  <si>
    <t>Sponsorship</t>
  </si>
  <si>
    <t>Membership revenue</t>
  </si>
  <si>
    <t>Donations</t>
  </si>
  <si>
    <t>Other</t>
  </si>
  <si>
    <t>Event Registrations</t>
  </si>
  <si>
    <t>Professional Development Days</t>
  </si>
  <si>
    <t>Study Groups</t>
  </si>
  <si>
    <t>Merchandise Sales</t>
  </si>
  <si>
    <t>Interest</t>
  </si>
  <si>
    <t>Event Food &amp; Beverage</t>
  </si>
  <si>
    <t>Rental Space</t>
  </si>
  <si>
    <t>Merchandise expenses</t>
  </si>
  <si>
    <t>PayPal fees</t>
  </si>
  <si>
    <t>Postal fees</t>
  </si>
  <si>
    <t>Software fees</t>
  </si>
  <si>
    <t>FINANCIAL PLAN</t>
  </si>
  <si>
    <t>Annual Budget</t>
  </si>
  <si>
    <t>Step</t>
  </si>
  <si>
    <t>Value</t>
  </si>
  <si>
    <t>Comments</t>
  </si>
  <si>
    <t>Enter Year-end date</t>
  </si>
  <si>
    <t>OPERATING EXPENSES</t>
  </si>
  <si>
    <t>TOTAL INCOME</t>
  </si>
  <si>
    <t>TOTAL EXPENSES</t>
  </si>
  <si>
    <t>Year Ending</t>
  </si>
  <si>
    <t>This date will populate on the budget page</t>
  </si>
  <si>
    <t>To add additional expense or income lines, insert a row in the appropriate section</t>
  </si>
  <si>
    <t>Modify any of the existing lines to accommodate your needs</t>
  </si>
  <si>
    <t>Discuss the difference as a Board at each meeting. Adjust operational plans based on any differences</t>
  </si>
  <si>
    <t>If revenues or expenses are different than anticipated, you will need to decide whether other operational goals need to be adjusted.  More revenue or lower expenses may lead to funding of additional operational tasks. Less revenue or higher expenses could lead to operational tasks being reduced.</t>
  </si>
  <si>
    <t>Career Centre</t>
  </si>
  <si>
    <t>Accounting Fees</t>
  </si>
  <si>
    <t>Banking Fees</t>
  </si>
  <si>
    <t>Difference</t>
  </si>
  <si>
    <t>100 members</t>
  </si>
  <si>
    <t>8 non members per event @ $5 each</t>
  </si>
  <si>
    <t>10 non member, 100 member registrations</t>
  </si>
  <si>
    <t>2 study groups, 50 participants each</t>
  </si>
  <si>
    <t>Received $150 last year</t>
  </si>
  <si>
    <t>1 gold, 2 silver packages</t>
  </si>
  <si>
    <t>based on $5000 invested at 1% interest</t>
  </si>
  <si>
    <t>Workbooks for PDD workshops, study materials for study groups</t>
  </si>
  <si>
    <t>sandwich platters at monthly events, lunch and snacks at PDD</t>
  </si>
  <si>
    <t>Meeting space for PDD at $12000, Montly meetings at $100 each</t>
  </si>
  <si>
    <t>Annual audit</t>
  </si>
  <si>
    <t>3% of event revenue</t>
  </si>
  <si>
    <t>$10 per month</t>
  </si>
  <si>
    <t>Miscellaneous mailings</t>
  </si>
  <si>
    <t>Quickbooks subscription at $100/month</t>
  </si>
  <si>
    <t>Rename the headers in the income and expense sections to suit your needs</t>
  </si>
  <si>
    <t>This template was designed for a typical Chapter, but you may want to track at a different level of granularity. Feel free to modify this template to suit your needs.</t>
  </si>
  <si>
    <t>In column 'C', enter what you expect to bring in and what you expect to spend in the upcoming year.  Enter information in white cells only.</t>
  </si>
  <si>
    <t>In column 'D', enter what you actually took in and spent. Only enter values into the white shaded cells.</t>
  </si>
  <si>
    <t>Determine what is realistic based on your operating plan. Overinflating budgeted revenue will cause financial issues</t>
  </si>
  <si>
    <t xml:space="preserve">Be realistic in your budgeted expenses and do not undervalue them.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</si>
</sst>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F800]dddd\,\ mmmm\ dd\,\ yyyy"/>
  </numFmts>
  <fonts count="15" x14ac:knownFonts="1">
    <font>
      <sz val="12"/>
      <color theme="1"/>
      <name val="Calibri"/>
      <family val="2"/>
      <scheme val="minor"/>
    </font>
    <font>
      <sz val="12"/>
      <color theme="1"/>
      <name val="Calibri"/>
      <family val="2"/>
      <scheme val="minor"/>
    </font>
    <font>
      <u/>
      <sz val="12"/>
      <color theme="11"/>
      <name val="Calibri"/>
      <family val="2"/>
      <scheme val="minor"/>
    </font>
    <font>
      <b/>
      <sz val="10"/>
      <color theme="3"/>
      <name val="Century Gothic"/>
      <family val="1"/>
    </font>
    <font>
      <sz val="10"/>
      <color theme="1"/>
      <name val="Century Gothic"/>
      <family val="1"/>
    </font>
    <font>
      <b/>
      <sz val="20"/>
      <color theme="0" tint="-0.499984740745262"/>
      <name val="Century Gothic"/>
      <family val="1"/>
    </font>
    <font>
      <b/>
      <sz val="14"/>
      <color theme="0"/>
      <name val="Century Gothic"/>
      <family val="1"/>
    </font>
    <font>
      <sz val="11"/>
      <color theme="1"/>
      <name val="Calibri"/>
      <family val="2"/>
      <scheme val="minor"/>
    </font>
    <font>
      <b/>
      <sz val="14"/>
      <name val="Arial"/>
      <family val="2"/>
    </font>
    <font>
      <b/>
      <sz val="10"/>
      <name val="Arial"/>
      <family val="2"/>
    </font>
    <font>
      <sz val="12"/>
      <color theme="1"/>
      <name val="Century Gothic"/>
      <family val="1"/>
    </font>
    <font>
      <b/>
      <sz val="12"/>
      <color theme="0"/>
      <name val="Century Gothic"/>
      <family val="1"/>
    </font>
    <font>
      <b/>
      <sz val="12"/>
      <color theme="1"/>
      <name val="Century Gothic"/>
      <family val="1"/>
    </font>
    <font>
      <sz val="8"/>
      <color theme="1"/>
      <name val="Century Gothic"/>
      <family val="1"/>
    </font>
    <font>
      <b/>
      <sz val="12"/>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rgb="FFD86018"/>
        <bgColor indexed="64"/>
      </patternFill>
    </fill>
  </fills>
  <borders count="25">
    <border>
      <left/>
      <right/>
      <top/>
      <bottom/>
      <diagonal/>
    </border>
    <border>
      <left style="hair">
        <color indexed="55"/>
      </left>
      <right style="hair">
        <color indexed="55"/>
      </right>
      <top style="hair">
        <color indexed="55"/>
      </top>
      <bottom style="hair">
        <color indexed="55"/>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theme="0" tint="-0.249977111117893"/>
      </left>
      <right/>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int="-0.249977111117893"/>
      </top>
      <bottom style="thin">
        <color theme="0" tint="-0.249977111117893"/>
      </bottom>
      <diagonal/>
    </border>
    <border>
      <left/>
      <right style="medium">
        <color indexed="64"/>
      </right>
      <top style="thin">
        <color theme="0" tint="-0.249977111117893"/>
      </top>
      <bottom style="thin">
        <color theme="0" tint="-0.249977111117893"/>
      </bottom>
      <diagonal/>
    </border>
    <border>
      <left style="medium">
        <color indexed="64"/>
      </left>
      <right/>
      <top/>
      <bottom/>
      <diagonal/>
    </border>
    <border>
      <left/>
      <right style="medium">
        <color indexed="64"/>
      </right>
      <top/>
      <bottom/>
      <diagonal/>
    </border>
    <border>
      <left/>
      <right style="medium">
        <color indexed="64"/>
      </right>
      <top style="thin">
        <color theme="0" tint="-0.249977111117893"/>
      </top>
      <bottom/>
      <diagonal/>
    </border>
    <border>
      <left style="hair">
        <color indexed="55"/>
      </left>
      <right style="medium">
        <color indexed="64"/>
      </right>
      <top style="hair">
        <color indexed="55"/>
      </top>
      <bottom style="hair">
        <color indexed="55"/>
      </bottom>
      <diagonal/>
    </border>
    <border>
      <left style="medium">
        <color indexed="64"/>
      </left>
      <right/>
      <top style="thin">
        <color theme="0" tint="-0.249977111117893"/>
      </top>
      <bottom/>
      <diagonal/>
    </border>
    <border>
      <left style="medium">
        <color indexed="64"/>
      </left>
      <right/>
      <top/>
      <bottom style="thin">
        <color theme="0" tint="-0.249977111117893"/>
      </bottom>
      <diagonal/>
    </border>
    <border>
      <left/>
      <right style="medium">
        <color indexed="64"/>
      </right>
      <top/>
      <bottom style="thin">
        <color theme="0" tint="-0.249977111117893"/>
      </bottom>
      <diagonal/>
    </border>
    <border>
      <left style="medium">
        <color indexed="64"/>
      </left>
      <right/>
      <top style="thin">
        <color theme="0" tint="-0.249977111117893"/>
      </top>
      <bottom style="medium">
        <color indexed="64"/>
      </bottom>
      <diagonal/>
    </border>
    <border>
      <left/>
      <right/>
      <top style="thin">
        <color theme="0" tint="-0.249977111117893"/>
      </top>
      <bottom style="medium">
        <color indexed="64"/>
      </bottom>
      <diagonal/>
    </border>
    <border>
      <left/>
      <right style="medium">
        <color indexed="64"/>
      </right>
      <top style="thin">
        <color theme="0" tint="-0.249977111117893"/>
      </top>
      <bottom style="medium">
        <color indexed="64"/>
      </bottom>
      <diagonal/>
    </border>
  </borders>
  <cellStyleXfs count="12">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55">
    <xf numFmtId="0" fontId="0" fillId="0" borderId="0" xfId="0"/>
    <xf numFmtId="0" fontId="4" fillId="0" borderId="0" xfId="0" applyFont="1" applyAlignment="1">
      <alignment wrapText="1"/>
    </xf>
    <xf numFmtId="0" fontId="6" fillId="5" borderId="3" xfId="0" applyFont="1" applyFill="1" applyBorder="1" applyAlignment="1">
      <alignment horizontal="left" vertical="center" wrapText="1"/>
    </xf>
    <xf numFmtId="0" fontId="8" fillId="0" borderId="9" xfId="0" applyFont="1" applyBorder="1" applyAlignment="1">
      <alignment wrapText="1"/>
    </xf>
    <xf numFmtId="0" fontId="9" fillId="0" borderId="9" xfId="0" applyFont="1" applyBorder="1" applyAlignment="1">
      <alignment horizontal="center" wrapText="1"/>
    </xf>
    <xf numFmtId="0" fontId="0" fillId="0" borderId="9" xfId="0" applyBorder="1" applyAlignment="1">
      <alignment wrapText="1"/>
    </xf>
    <xf numFmtId="0" fontId="6" fillId="5" borderId="3" xfId="0" applyFont="1" applyFill="1" applyBorder="1" applyAlignment="1">
      <alignment horizontal="right" vertical="center" wrapText="1"/>
    </xf>
    <xf numFmtId="0" fontId="11" fillId="5" borderId="2" xfId="0" applyFont="1" applyFill="1" applyBorder="1" applyAlignment="1">
      <alignment horizontal="left" vertical="center" wrapText="1" indent="1"/>
    </xf>
    <xf numFmtId="164" fontId="10" fillId="3" borderId="2" xfId="1" applyFont="1" applyFill="1" applyBorder="1" applyAlignment="1">
      <alignment wrapText="1"/>
    </xf>
    <xf numFmtId="0" fontId="10" fillId="4" borderId="0" xfId="0" applyFont="1" applyFill="1" applyBorder="1" applyAlignment="1">
      <alignment horizontal="left" vertical="center" wrapText="1" indent="1"/>
    </xf>
    <xf numFmtId="0" fontId="10" fillId="4" borderId="4" xfId="0" applyFont="1" applyFill="1" applyBorder="1" applyAlignment="1">
      <alignment horizontal="left" vertical="center" wrapText="1" indent="1"/>
    </xf>
    <xf numFmtId="0" fontId="10" fillId="4" borderId="6" xfId="0" applyFont="1" applyFill="1" applyBorder="1" applyAlignment="1">
      <alignment horizontal="left" vertical="center" wrapText="1" indent="1"/>
    </xf>
    <xf numFmtId="164" fontId="10" fillId="2" borderId="1" xfId="1" applyNumberFormat="1" applyFont="1" applyFill="1" applyBorder="1" applyAlignment="1">
      <alignment horizontal="left" vertical="center" wrapText="1" indent="1"/>
    </xf>
    <xf numFmtId="164" fontId="10" fillId="4" borderId="5" xfId="0" applyNumberFormat="1" applyFont="1" applyFill="1" applyBorder="1" applyAlignment="1">
      <alignment horizontal="left" vertical="center" wrapText="1" indent="1"/>
    </xf>
    <xf numFmtId="0" fontId="10" fillId="4" borderId="0" xfId="0" applyFont="1" applyFill="1" applyBorder="1" applyAlignment="1">
      <alignment wrapText="1"/>
    </xf>
    <xf numFmtId="0" fontId="10" fillId="4" borderId="5" xfId="0" applyFont="1" applyFill="1" applyBorder="1" applyAlignment="1">
      <alignment wrapText="1"/>
    </xf>
    <xf numFmtId="164" fontId="11" fillId="5" borderId="3" xfId="1" applyFont="1" applyFill="1" applyBorder="1" applyAlignment="1">
      <alignment horizontal="left" vertical="center" wrapText="1" indent="1"/>
    </xf>
    <xf numFmtId="0" fontId="10" fillId="4" borderId="5" xfId="0" applyFont="1" applyFill="1" applyBorder="1" applyAlignment="1">
      <alignment horizontal="left" vertical="center" wrapText="1" indent="1"/>
    </xf>
    <xf numFmtId="164" fontId="11" fillId="5" borderId="0" xfId="0" applyNumberFormat="1" applyFont="1" applyFill="1" applyBorder="1" applyAlignment="1">
      <alignment horizontal="left" vertical="center" wrapText="1" indent="1"/>
    </xf>
    <xf numFmtId="164" fontId="10" fillId="4" borderId="7" xfId="1" applyNumberFormat="1" applyFont="1" applyFill="1" applyBorder="1" applyAlignment="1">
      <alignment horizontal="left" vertical="center" wrapText="1" indent="1"/>
    </xf>
    <xf numFmtId="0" fontId="10" fillId="4" borderId="8" xfId="0" applyFont="1" applyFill="1" applyBorder="1" applyAlignment="1">
      <alignment horizontal="left" vertical="center" wrapText="1" indent="1"/>
    </xf>
    <xf numFmtId="0" fontId="5" fillId="2" borderId="10" xfId="0" applyFont="1" applyFill="1" applyBorder="1" applyAlignment="1">
      <alignment vertical="center"/>
    </xf>
    <xf numFmtId="0" fontId="3" fillId="2" borderId="11" xfId="0" applyFont="1" applyFill="1" applyBorder="1" applyAlignment="1">
      <alignment horizontal="left" vertical="center" wrapText="1"/>
    </xf>
    <xf numFmtId="0" fontId="4" fillId="2" borderId="11" xfId="0" applyFont="1" applyFill="1" applyBorder="1" applyAlignment="1">
      <alignment wrapText="1"/>
    </xf>
    <xf numFmtId="0" fontId="4" fillId="2" borderId="12" xfId="0" applyFont="1" applyFill="1" applyBorder="1" applyAlignment="1">
      <alignment wrapText="1"/>
    </xf>
    <xf numFmtId="0" fontId="6" fillId="5" borderId="13" xfId="0" applyFont="1" applyFill="1" applyBorder="1" applyAlignment="1">
      <alignment horizontal="left" vertical="center" wrapText="1" indent="1"/>
    </xf>
    <xf numFmtId="165" fontId="6" fillId="5" borderId="14" xfId="0" applyNumberFormat="1" applyFont="1" applyFill="1" applyBorder="1" applyAlignment="1">
      <alignment horizontal="left" vertical="center" wrapText="1"/>
    </xf>
    <xf numFmtId="0" fontId="4" fillId="2" borderId="15" xfId="0" applyFont="1" applyFill="1" applyBorder="1" applyAlignment="1">
      <alignment wrapText="1"/>
    </xf>
    <xf numFmtId="0" fontId="4" fillId="2" borderId="0" xfId="0" applyFont="1" applyFill="1" applyBorder="1" applyAlignment="1">
      <alignment wrapText="1"/>
    </xf>
    <xf numFmtId="0" fontId="4" fillId="2" borderId="16" xfId="0" applyFont="1" applyFill="1" applyBorder="1" applyAlignment="1">
      <alignment wrapText="1"/>
    </xf>
    <xf numFmtId="0" fontId="10" fillId="2" borderId="15" xfId="0" applyFont="1" applyFill="1" applyBorder="1" applyAlignment="1">
      <alignment wrapText="1"/>
    </xf>
    <xf numFmtId="0" fontId="4" fillId="0" borderId="16" xfId="0" applyFont="1" applyBorder="1" applyAlignment="1">
      <alignment wrapText="1"/>
    </xf>
    <xf numFmtId="0" fontId="10" fillId="0" borderId="15" xfId="0" applyFont="1" applyBorder="1" applyAlignment="1">
      <alignment wrapText="1"/>
    </xf>
    <xf numFmtId="0" fontId="10" fillId="2" borderId="0" xfId="0" applyFont="1" applyFill="1" applyBorder="1" applyAlignment="1">
      <alignment wrapText="1"/>
    </xf>
    <xf numFmtId="0" fontId="11" fillId="5" borderId="13" xfId="0" applyFont="1" applyFill="1" applyBorder="1" applyAlignment="1">
      <alignment horizontal="left" vertical="center" wrapText="1" indent="1"/>
    </xf>
    <xf numFmtId="0" fontId="11" fillId="5" borderId="14" xfId="0" applyFont="1" applyFill="1" applyBorder="1" applyAlignment="1">
      <alignment horizontal="left" vertical="center" wrapText="1" indent="1"/>
    </xf>
    <xf numFmtId="0" fontId="12" fillId="4" borderId="15" xfId="0" applyFont="1" applyFill="1" applyBorder="1" applyAlignment="1">
      <alignment horizontal="left" vertical="center" wrapText="1" indent="1"/>
    </xf>
    <xf numFmtId="0" fontId="10" fillId="4" borderId="17" xfId="0" applyFont="1" applyFill="1" applyBorder="1" applyAlignment="1">
      <alignment horizontal="left" vertical="center" wrapText="1" indent="1"/>
    </xf>
    <xf numFmtId="0" fontId="10" fillId="4" borderId="15" xfId="0" applyFont="1" applyFill="1" applyBorder="1" applyAlignment="1">
      <alignment horizontal="left" vertical="center" wrapText="1" indent="1"/>
    </xf>
    <xf numFmtId="0" fontId="10" fillId="4" borderId="16" xfId="0" applyFont="1" applyFill="1" applyBorder="1" applyAlignment="1">
      <alignment wrapText="1"/>
    </xf>
    <xf numFmtId="164" fontId="11" fillId="5" borderId="14" xfId="1" applyFont="1" applyFill="1" applyBorder="1" applyAlignment="1">
      <alignment horizontal="left" vertical="center" wrapText="1" indent="1"/>
    </xf>
    <xf numFmtId="0" fontId="10" fillId="0" borderId="0" xfId="0" applyFont="1" applyBorder="1" applyAlignment="1">
      <alignment wrapText="1"/>
    </xf>
    <xf numFmtId="0" fontId="10" fillId="0" borderId="16" xfId="0" applyFont="1" applyBorder="1" applyAlignment="1">
      <alignment wrapText="1"/>
    </xf>
    <xf numFmtId="0" fontId="11" fillId="5" borderId="19" xfId="0" applyFont="1" applyFill="1" applyBorder="1" applyAlignment="1">
      <alignment horizontal="left" vertical="center" wrapText="1" indent="1"/>
    </xf>
    <xf numFmtId="0" fontId="11" fillId="5" borderId="17" xfId="0" applyFont="1" applyFill="1" applyBorder="1" applyAlignment="1">
      <alignment horizontal="left" vertical="center" wrapText="1" indent="1"/>
    </xf>
    <xf numFmtId="0" fontId="10" fillId="4" borderId="16" xfId="0" applyFont="1" applyFill="1" applyBorder="1" applyAlignment="1">
      <alignment horizontal="left" vertical="center" wrapText="1" indent="1"/>
    </xf>
    <xf numFmtId="164" fontId="10" fillId="4" borderId="16" xfId="0" applyNumberFormat="1" applyFont="1" applyFill="1" applyBorder="1" applyAlignment="1">
      <alignment horizontal="left" vertical="center" wrapText="1" indent="1"/>
    </xf>
    <xf numFmtId="164" fontId="11" fillId="5" borderId="16" xfId="0" applyNumberFormat="1" applyFont="1" applyFill="1" applyBorder="1" applyAlignment="1">
      <alignment horizontal="left" vertical="center" wrapText="1" indent="1"/>
    </xf>
    <xf numFmtId="0" fontId="10" fillId="4" borderId="20" xfId="0" applyFont="1" applyFill="1" applyBorder="1" applyAlignment="1">
      <alignment horizontal="left" vertical="center" wrapText="1" indent="1"/>
    </xf>
    <xf numFmtId="0" fontId="10" fillId="4" borderId="21" xfId="0" applyFont="1" applyFill="1" applyBorder="1" applyAlignment="1">
      <alignment horizontal="left" vertical="center" wrapText="1" indent="1"/>
    </xf>
    <xf numFmtId="0" fontId="11" fillId="5" borderId="22" xfId="0" applyFont="1" applyFill="1" applyBorder="1" applyAlignment="1">
      <alignment horizontal="left" vertical="center" wrapText="1" indent="1"/>
    </xf>
    <xf numFmtId="164" fontId="11" fillId="5" borderId="23" xfId="1" applyFont="1" applyFill="1" applyBorder="1" applyAlignment="1">
      <alignment horizontal="left" vertical="center" wrapText="1" indent="1"/>
    </xf>
    <xf numFmtId="164" fontId="11" fillId="5" borderId="24" xfId="1" applyFont="1" applyFill="1" applyBorder="1" applyAlignment="1">
      <alignment horizontal="left" vertical="center" wrapText="1" indent="1"/>
    </xf>
    <xf numFmtId="49" fontId="13" fillId="2" borderId="18" xfId="1" applyNumberFormat="1" applyFont="1" applyFill="1" applyBorder="1" applyAlignment="1">
      <alignment horizontal="left" vertical="center" wrapText="1" indent="1"/>
    </xf>
    <xf numFmtId="14" fontId="14" fillId="5" borderId="9" xfId="0" applyNumberFormat="1" applyFont="1" applyFill="1" applyBorder="1" applyAlignment="1">
      <alignment horizontal="center" wrapText="1"/>
    </xf>
  </cellXfs>
  <cellStyles count="12">
    <cellStyle name="Currency" xfId="1" builtinId="4"/>
    <cellStyle name="Followed Hyperlink" xfId="6" builtinId="9" hidden="1"/>
    <cellStyle name="Followed Hyperlink" xfId="7" builtinId="9" hidden="1"/>
    <cellStyle name="Followed Hyperlink" xfId="9" builtinId="9" hidden="1"/>
    <cellStyle name="Followed Hyperlink" xfId="10" builtinId="9" hidden="1"/>
    <cellStyle name="Followed Hyperlink" xfId="8" builtinId="9" hidden="1"/>
    <cellStyle name="Followed Hyperlink" xfId="4" builtinId="9" hidden="1"/>
    <cellStyle name="Followed Hyperlink" xfId="5" builtinId="9" hidden="1"/>
    <cellStyle name="Followed Hyperlink" xfId="3" builtinId="9" hidden="1"/>
    <cellStyle name="Followed Hyperlink" xfId="2" builtinId="9" hidden="1"/>
    <cellStyle name="Normal" xfId="0" builtinId="0"/>
    <cellStyle name="Normal 2" xfId="11" xr:uid="{00000000-0005-0000-0000-00000B000000}"/>
  </cellStyles>
  <dxfs count="8">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s>
  <tableStyles count="0" defaultTableStyle="TableStyleMedium9" defaultPivotStyle="PivotStyleMedium4"/>
  <colors>
    <mruColors>
      <color rgb="FFD860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9722-3270-4DCE-B332-22393CE50477}">
  <dimension ref="A1:D7"/>
  <sheetViews>
    <sheetView tabSelected="1" workbookViewId="0"/>
  </sheetViews>
  <sheetFormatPr defaultRowHeight="15.75" x14ac:dyDescent="0.25"/>
  <cols>
    <col min="2" max="2" width="26.75" customWidth="1"/>
    <col min="3" max="3" width="20.375" customWidth="1"/>
    <col min="4" max="4" width="52.375" customWidth="1"/>
  </cols>
  <sheetData>
    <row r="1" spans="1:4" ht="18" x14ac:dyDescent="0.25">
      <c r="A1" s="3" t="s">
        <v>29</v>
      </c>
      <c r="B1" s="3" t="s">
        <v>3</v>
      </c>
      <c r="C1" s="3" t="s">
        <v>30</v>
      </c>
      <c r="D1" s="3" t="s">
        <v>31</v>
      </c>
    </row>
    <row r="2" spans="1:4" x14ac:dyDescent="0.25">
      <c r="A2" s="4">
        <v>1</v>
      </c>
      <c r="B2" s="5" t="s">
        <v>32</v>
      </c>
      <c r="C2" s="54">
        <v>44926</v>
      </c>
      <c r="D2" s="5" t="s">
        <v>37</v>
      </c>
    </row>
    <row r="3" spans="1:4" ht="47.25" x14ac:dyDescent="0.25">
      <c r="A3" s="4">
        <v>4</v>
      </c>
      <c r="B3" s="5" t="s">
        <v>39</v>
      </c>
      <c r="C3" s="5"/>
      <c r="D3" s="5" t="s">
        <v>61</v>
      </c>
    </row>
    <row r="4" spans="1:4" ht="47.25" x14ac:dyDescent="0.25">
      <c r="A4" s="4">
        <v>3</v>
      </c>
      <c r="B4" s="5" t="s">
        <v>38</v>
      </c>
      <c r="C4" s="5"/>
      <c r="D4" s="5" t="s">
        <v>62</v>
      </c>
    </row>
    <row r="5" spans="1:4" ht="78.75" x14ac:dyDescent="0.25">
      <c r="A5" s="4">
        <v>5</v>
      </c>
      <c r="B5" s="5" t="s">
        <v>63</v>
      </c>
      <c r="C5" s="5"/>
      <c r="D5" s="5" t="s">
        <v>65</v>
      </c>
    </row>
    <row r="6" spans="1:4" ht="63" x14ac:dyDescent="0.25">
      <c r="A6" s="4">
        <v>6</v>
      </c>
      <c r="B6" s="5" t="s">
        <v>64</v>
      </c>
      <c r="C6" s="5"/>
      <c r="D6" s="5" t="s">
        <v>66</v>
      </c>
    </row>
    <row r="7" spans="1:4" ht="94.5" x14ac:dyDescent="0.25">
      <c r="A7" s="4">
        <v>7</v>
      </c>
      <c r="B7" s="5" t="s">
        <v>40</v>
      </c>
      <c r="C7" s="5"/>
      <c r="D7" s="5"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40"/>
  <sheetViews>
    <sheetView showGridLines="0" workbookViewId="0">
      <pane ySplit="1" topLeftCell="A2" activePane="bottomLeft" state="frozen"/>
      <selection activeCell="B36" sqref="B36"/>
      <selection pane="bottomLeft" activeCell="C11" sqref="C11"/>
    </sheetView>
  </sheetViews>
  <sheetFormatPr defaultColWidth="10.75" defaultRowHeight="13.5" x14ac:dyDescent="0.25"/>
  <cols>
    <col min="1" max="1" width="3.25" style="1" customWidth="1"/>
    <col min="2" max="2" width="35.75" style="1" customWidth="1"/>
    <col min="3" max="3" width="27.5" style="1" customWidth="1"/>
    <col min="4" max="4" width="26.375" style="1" customWidth="1"/>
    <col min="5" max="5" width="24.625" style="1" customWidth="1"/>
    <col min="6" max="6" width="52.875" style="1" customWidth="1"/>
    <col min="7" max="16384" width="10.75" style="1"/>
  </cols>
  <sheetData>
    <row r="1" spans="2:6" ht="25.5" x14ac:dyDescent="0.25">
      <c r="B1" s="21" t="s">
        <v>27</v>
      </c>
      <c r="C1" s="22"/>
      <c r="D1" s="23"/>
      <c r="E1" s="23"/>
      <c r="F1" s="24"/>
    </row>
    <row r="2" spans="2:6" ht="34.9" customHeight="1" x14ac:dyDescent="0.25">
      <c r="B2" s="25" t="s">
        <v>28</v>
      </c>
      <c r="C2" s="2"/>
      <c r="D2" s="6"/>
      <c r="E2" s="6" t="s">
        <v>36</v>
      </c>
      <c r="F2" s="26">
        <f>+Instructions!C2</f>
        <v>44926</v>
      </c>
    </row>
    <row r="3" spans="2:6" ht="8.1" customHeight="1" x14ac:dyDescent="0.25">
      <c r="B3" s="27"/>
      <c r="C3" s="28"/>
      <c r="D3" s="28"/>
      <c r="E3" s="28"/>
      <c r="F3" s="29"/>
    </row>
    <row r="4" spans="2:6" ht="17.25" x14ac:dyDescent="0.3">
      <c r="B4" s="30" t="s">
        <v>5</v>
      </c>
      <c r="C4" s="7" t="s">
        <v>0</v>
      </c>
      <c r="D4" s="7" t="s">
        <v>1</v>
      </c>
      <c r="E4" s="7" t="s">
        <v>2</v>
      </c>
      <c r="F4" s="31"/>
    </row>
    <row r="5" spans="2:6" ht="17.25" x14ac:dyDescent="0.3">
      <c r="B5" s="32" t="s">
        <v>6</v>
      </c>
      <c r="C5" s="8">
        <f>C22</f>
        <v>0</v>
      </c>
      <c r="D5" s="8">
        <f>+D22</f>
        <v>0</v>
      </c>
      <c r="E5" s="8">
        <f>C5-D5</f>
        <v>0</v>
      </c>
      <c r="F5" s="31"/>
    </row>
    <row r="6" spans="2:6" ht="17.25" x14ac:dyDescent="0.3">
      <c r="B6" s="32" t="s">
        <v>7</v>
      </c>
      <c r="C6" s="8">
        <f>+C37</f>
        <v>0</v>
      </c>
      <c r="D6" s="8">
        <f>+D37</f>
        <v>0</v>
      </c>
      <c r="E6" s="8">
        <f>C6-D6</f>
        <v>0</v>
      </c>
      <c r="F6" s="31"/>
    </row>
    <row r="7" spans="2:6" ht="17.25" x14ac:dyDescent="0.3">
      <c r="B7" s="32" t="s">
        <v>45</v>
      </c>
      <c r="C7" s="8">
        <f>+C5-C6</f>
        <v>0</v>
      </c>
      <c r="D7" s="8">
        <f>+D5-D6</f>
        <v>0</v>
      </c>
      <c r="E7" s="8">
        <f>C7-D7</f>
        <v>0</v>
      </c>
      <c r="F7" s="31"/>
    </row>
    <row r="8" spans="2:6" ht="8.1" customHeight="1" x14ac:dyDescent="0.3">
      <c r="B8" s="30"/>
      <c r="C8" s="33"/>
      <c r="D8" s="33"/>
      <c r="E8" s="33"/>
      <c r="F8" s="31"/>
    </row>
    <row r="9" spans="2:6" ht="15" x14ac:dyDescent="0.25">
      <c r="B9" s="34" t="s">
        <v>8</v>
      </c>
      <c r="C9" s="7" t="s">
        <v>0</v>
      </c>
      <c r="D9" s="7" t="s">
        <v>1</v>
      </c>
      <c r="E9" s="7" t="s">
        <v>2</v>
      </c>
      <c r="F9" s="35" t="s">
        <v>31</v>
      </c>
    </row>
    <row r="10" spans="2:6" ht="17.25" x14ac:dyDescent="0.25">
      <c r="B10" s="36" t="s">
        <v>9</v>
      </c>
      <c r="C10" s="9"/>
      <c r="D10" s="9"/>
      <c r="E10" s="10"/>
      <c r="F10" s="37"/>
    </row>
    <row r="11" spans="2:6" ht="17.25" x14ac:dyDescent="0.25">
      <c r="B11" s="38" t="s">
        <v>13</v>
      </c>
      <c r="C11" s="12"/>
      <c r="D11" s="12"/>
      <c r="E11" s="13">
        <f>D11-C11</f>
        <v>0</v>
      </c>
      <c r="F11" s="53"/>
    </row>
    <row r="12" spans="2:6" ht="17.25" x14ac:dyDescent="0.25">
      <c r="B12" s="38" t="s">
        <v>16</v>
      </c>
      <c r="C12" s="12"/>
      <c r="D12" s="12"/>
      <c r="E12" s="13">
        <f t="shared" ref="E12:E14" si="0">D12-C12</f>
        <v>0</v>
      </c>
      <c r="F12" s="53"/>
    </row>
    <row r="13" spans="2:6" ht="17.25" x14ac:dyDescent="0.25">
      <c r="B13" s="38" t="s">
        <v>17</v>
      </c>
      <c r="C13" s="12"/>
      <c r="D13" s="12"/>
      <c r="E13" s="13">
        <f t="shared" si="0"/>
        <v>0</v>
      </c>
      <c r="F13" s="53"/>
    </row>
    <row r="14" spans="2:6" ht="17.25" x14ac:dyDescent="0.25">
      <c r="B14" s="38" t="s">
        <v>18</v>
      </c>
      <c r="C14" s="12"/>
      <c r="D14" s="12"/>
      <c r="E14" s="13">
        <f t="shared" si="0"/>
        <v>0</v>
      </c>
      <c r="F14" s="53"/>
    </row>
    <row r="15" spans="2:6" ht="17.25" x14ac:dyDescent="0.25">
      <c r="B15" s="38" t="s">
        <v>42</v>
      </c>
      <c r="C15" s="12"/>
      <c r="D15" s="12"/>
      <c r="E15" s="13">
        <f t="shared" ref="E15" si="1">D15-C15</f>
        <v>0</v>
      </c>
      <c r="F15" s="53"/>
    </row>
    <row r="16" spans="2:6" ht="17.25" x14ac:dyDescent="0.25">
      <c r="B16" s="38" t="s">
        <v>19</v>
      </c>
      <c r="C16" s="12"/>
      <c r="D16" s="12"/>
      <c r="E16" s="13">
        <f t="shared" ref="E16:E20" si="2">D16-C16</f>
        <v>0</v>
      </c>
      <c r="F16" s="53"/>
    </row>
    <row r="17" spans="2:6" ht="17.25" x14ac:dyDescent="0.25">
      <c r="B17" s="38" t="s">
        <v>14</v>
      </c>
      <c r="C17" s="12"/>
      <c r="D17" s="12"/>
      <c r="E17" s="13">
        <f t="shared" si="2"/>
        <v>0</v>
      </c>
      <c r="F17" s="53"/>
    </row>
    <row r="18" spans="2:6" ht="17.25" x14ac:dyDescent="0.25">
      <c r="B18" s="38" t="s">
        <v>12</v>
      </c>
      <c r="C18" s="12"/>
      <c r="D18" s="12"/>
      <c r="E18" s="13">
        <f t="shared" si="2"/>
        <v>0</v>
      </c>
      <c r="F18" s="53"/>
    </row>
    <row r="19" spans="2:6" ht="17.25" x14ac:dyDescent="0.25">
      <c r="B19" s="38" t="s">
        <v>20</v>
      </c>
      <c r="C19" s="12"/>
      <c r="D19" s="12"/>
      <c r="E19" s="13">
        <f t="shared" si="2"/>
        <v>0</v>
      </c>
      <c r="F19" s="53"/>
    </row>
    <row r="20" spans="2:6" ht="17.25" x14ac:dyDescent="0.25">
      <c r="B20" s="38" t="s">
        <v>15</v>
      </c>
      <c r="C20" s="12"/>
      <c r="D20" s="12"/>
      <c r="E20" s="13">
        <f t="shared" si="2"/>
        <v>0</v>
      </c>
      <c r="F20" s="53"/>
    </row>
    <row r="21" spans="2:6" ht="17.25" x14ac:dyDescent="0.3">
      <c r="B21" s="38"/>
      <c r="C21" s="14"/>
      <c r="D21" s="14"/>
      <c r="E21" s="15"/>
      <c r="F21" s="39"/>
    </row>
    <row r="22" spans="2:6" ht="15" x14ac:dyDescent="0.25">
      <c r="B22" s="34" t="s">
        <v>34</v>
      </c>
      <c r="C22" s="16">
        <f>SUM(C11:C20)</f>
        <v>0</v>
      </c>
      <c r="D22" s="16">
        <f>SUM(D11:D20)</f>
        <v>0</v>
      </c>
      <c r="E22" s="16">
        <f>SUM(E11:E20)</f>
        <v>0</v>
      </c>
      <c r="F22" s="40">
        <f>SUM(F11:F20)</f>
        <v>0</v>
      </c>
    </row>
    <row r="23" spans="2:6" ht="8.1" customHeight="1" x14ac:dyDescent="0.3">
      <c r="B23" s="32"/>
      <c r="C23" s="41"/>
      <c r="D23" s="41"/>
      <c r="E23" s="41"/>
      <c r="F23" s="42"/>
    </row>
    <row r="24" spans="2:6" ht="15" x14ac:dyDescent="0.25">
      <c r="B24" s="43" t="s">
        <v>10</v>
      </c>
      <c r="C24" s="7" t="s">
        <v>0</v>
      </c>
      <c r="D24" s="7" t="s">
        <v>1</v>
      </c>
      <c r="E24" s="7" t="s">
        <v>2</v>
      </c>
      <c r="F24" s="44" t="s">
        <v>31</v>
      </c>
    </row>
    <row r="25" spans="2:6" ht="17.25" x14ac:dyDescent="0.25">
      <c r="B25" s="36" t="s">
        <v>33</v>
      </c>
      <c r="C25" s="9"/>
      <c r="D25" s="9"/>
      <c r="E25" s="17"/>
      <c r="F25" s="45"/>
    </row>
    <row r="26" spans="2:6" ht="17.25" x14ac:dyDescent="0.25">
      <c r="B26" s="38" t="s">
        <v>11</v>
      </c>
      <c r="C26" s="12"/>
      <c r="D26" s="12"/>
      <c r="E26" s="13">
        <f>+C26-D26</f>
        <v>0</v>
      </c>
      <c r="F26" s="53"/>
    </row>
    <row r="27" spans="2:6" ht="17.25" x14ac:dyDescent="0.25">
      <c r="B27" s="38" t="s">
        <v>21</v>
      </c>
      <c r="C27" s="12"/>
      <c r="D27" s="12"/>
      <c r="E27" s="13">
        <f t="shared" ref="E27:E35" si="3">+C27-D27</f>
        <v>0</v>
      </c>
      <c r="F27" s="53"/>
    </row>
    <row r="28" spans="2:6" ht="17.25" x14ac:dyDescent="0.25">
      <c r="B28" s="38" t="s">
        <v>22</v>
      </c>
      <c r="C28" s="12"/>
      <c r="D28" s="12"/>
      <c r="E28" s="13">
        <f t="shared" si="3"/>
        <v>0</v>
      </c>
      <c r="F28" s="53"/>
    </row>
    <row r="29" spans="2:6" ht="17.25" x14ac:dyDescent="0.25">
      <c r="B29" s="38" t="s">
        <v>23</v>
      </c>
      <c r="C29" s="12"/>
      <c r="D29" s="12"/>
      <c r="E29" s="13">
        <f t="shared" si="3"/>
        <v>0</v>
      </c>
      <c r="F29" s="53"/>
    </row>
    <row r="30" spans="2:6" ht="17.25" x14ac:dyDescent="0.25">
      <c r="B30" s="38" t="s">
        <v>43</v>
      </c>
      <c r="C30" s="12"/>
      <c r="D30" s="12"/>
      <c r="E30" s="13">
        <f t="shared" si="3"/>
        <v>0</v>
      </c>
      <c r="F30" s="53"/>
    </row>
    <row r="31" spans="2:6" ht="17.25" x14ac:dyDescent="0.25">
      <c r="B31" s="38" t="s">
        <v>24</v>
      </c>
      <c r="C31" s="12"/>
      <c r="D31" s="12"/>
      <c r="E31" s="13">
        <f t="shared" si="3"/>
        <v>0</v>
      </c>
      <c r="F31" s="53"/>
    </row>
    <row r="32" spans="2:6" ht="17.25" x14ac:dyDescent="0.25">
      <c r="B32" s="38" t="s">
        <v>44</v>
      </c>
      <c r="C32" s="12"/>
      <c r="D32" s="12"/>
      <c r="E32" s="13">
        <f t="shared" ref="E32:E33" si="4">+C32-D32</f>
        <v>0</v>
      </c>
      <c r="F32" s="53"/>
    </row>
    <row r="33" spans="2:6" ht="17.25" x14ac:dyDescent="0.25">
      <c r="B33" s="38" t="s">
        <v>25</v>
      </c>
      <c r="C33" s="12"/>
      <c r="D33" s="12"/>
      <c r="E33" s="13">
        <f t="shared" si="4"/>
        <v>0</v>
      </c>
      <c r="F33" s="53"/>
    </row>
    <row r="34" spans="2:6" ht="17.25" x14ac:dyDescent="0.25">
      <c r="B34" s="38" t="s">
        <v>26</v>
      </c>
      <c r="C34" s="12"/>
      <c r="D34" s="12"/>
      <c r="E34" s="13">
        <f t="shared" si="3"/>
        <v>0</v>
      </c>
      <c r="F34" s="53"/>
    </row>
    <row r="35" spans="2:6" ht="17.25" x14ac:dyDescent="0.25">
      <c r="B35" s="38" t="s">
        <v>15</v>
      </c>
      <c r="C35" s="12"/>
      <c r="D35" s="12"/>
      <c r="E35" s="13">
        <f t="shared" si="3"/>
        <v>0</v>
      </c>
      <c r="F35" s="53"/>
    </row>
    <row r="36" spans="2:6" ht="17.25" x14ac:dyDescent="0.25">
      <c r="B36" s="38"/>
      <c r="C36" s="11"/>
      <c r="D36" s="11"/>
      <c r="E36" s="13"/>
      <c r="F36" s="46"/>
    </row>
    <row r="37" spans="2:6" ht="15" x14ac:dyDescent="0.25">
      <c r="B37" s="34" t="s">
        <v>35</v>
      </c>
      <c r="C37" s="18">
        <f>SUM(C26:C35)</f>
        <v>0</v>
      </c>
      <c r="D37" s="18">
        <f>SUM(D26:D35)</f>
        <v>0</v>
      </c>
      <c r="E37" s="18">
        <f>SUM(E26:E35)</f>
        <v>0</v>
      </c>
      <c r="F37" s="47"/>
    </row>
    <row r="38" spans="2:6" ht="8.1" customHeight="1" x14ac:dyDescent="0.25">
      <c r="B38" s="48"/>
      <c r="C38" s="19"/>
      <c r="D38" s="19"/>
      <c r="E38" s="20"/>
      <c r="F38" s="49"/>
    </row>
    <row r="39" spans="2:6" ht="15.75" thickBot="1" x14ac:dyDescent="0.3">
      <c r="B39" s="50" t="s">
        <v>4</v>
      </c>
      <c r="C39" s="51">
        <f>+C22-C37</f>
        <v>0</v>
      </c>
      <c r="D39" s="51">
        <f>+D22-D37</f>
        <v>0</v>
      </c>
      <c r="E39" s="51">
        <f>+E22-E37</f>
        <v>0</v>
      </c>
      <c r="F39" s="52"/>
    </row>
    <row r="40" spans="2:6" ht="10.9" customHeight="1" x14ac:dyDescent="0.25"/>
  </sheetData>
  <conditionalFormatting sqref="E10:E21">
    <cfRule type="expression" dxfId="7" priority="3">
      <formula>E10&gt;0</formula>
    </cfRule>
    <cfRule type="expression" dxfId="6" priority="4">
      <formula xml:space="preserve"> E10&lt;0</formula>
    </cfRule>
  </conditionalFormatting>
  <conditionalFormatting sqref="E25:E36">
    <cfRule type="expression" dxfId="5" priority="1">
      <formula>E25&gt;0</formula>
    </cfRule>
    <cfRule type="expression" dxfId="4" priority="2">
      <formula>E25&lt;0</formula>
    </cfRule>
  </conditionalFormatting>
  <pageMargins left="0.3" right="0.3" top="0.3" bottom="0.3" header="0" footer="0"/>
  <pageSetup scale="73" fitToHeight="0" orientation="landscape" horizontalDpi="4294967292" vertic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04DB-650B-4A95-8BC3-4B38BD7F45EC}">
  <sheetPr>
    <pageSetUpPr fitToPage="1"/>
  </sheetPr>
  <dimension ref="B1:F40"/>
  <sheetViews>
    <sheetView showGridLines="0" workbookViewId="0">
      <pane ySplit="1" topLeftCell="A8" activePane="bottomLeft" state="frozen"/>
      <selection activeCell="B36" sqref="B36"/>
      <selection pane="bottomLeft" activeCell="D11" sqref="D11"/>
    </sheetView>
  </sheetViews>
  <sheetFormatPr defaultColWidth="10.75" defaultRowHeight="13.5" x14ac:dyDescent="0.25"/>
  <cols>
    <col min="1" max="1" width="3.25" style="1" customWidth="1"/>
    <col min="2" max="2" width="35.75" style="1" customWidth="1"/>
    <col min="3" max="3" width="27.5" style="1" customWidth="1"/>
    <col min="4" max="4" width="26.375" style="1" customWidth="1"/>
    <col min="5" max="5" width="24.625" style="1" customWidth="1"/>
    <col min="6" max="6" width="52.875" style="1" customWidth="1"/>
    <col min="7" max="16384" width="10.75" style="1"/>
  </cols>
  <sheetData>
    <row r="1" spans="2:6" ht="25.5" x14ac:dyDescent="0.25">
      <c r="B1" s="21" t="s">
        <v>27</v>
      </c>
      <c r="C1" s="22"/>
      <c r="D1" s="23"/>
      <c r="E1" s="23"/>
      <c r="F1" s="24"/>
    </row>
    <row r="2" spans="2:6" ht="34.9" customHeight="1" x14ac:dyDescent="0.25">
      <c r="B2" s="25" t="s">
        <v>28</v>
      </c>
      <c r="C2" s="2"/>
      <c r="D2" s="6"/>
      <c r="E2" s="6" t="s">
        <v>36</v>
      </c>
      <c r="F2" s="26">
        <f>+Instructions!C2</f>
        <v>44926</v>
      </c>
    </row>
    <row r="3" spans="2:6" ht="8.1" customHeight="1" x14ac:dyDescent="0.25">
      <c r="B3" s="27"/>
      <c r="C3" s="28"/>
      <c r="D3" s="28"/>
      <c r="E3" s="28"/>
      <c r="F3" s="29"/>
    </row>
    <row r="4" spans="2:6" ht="17.25" x14ac:dyDescent="0.3">
      <c r="B4" s="30" t="s">
        <v>5</v>
      </c>
      <c r="C4" s="7" t="s">
        <v>0</v>
      </c>
      <c r="D4" s="7" t="s">
        <v>1</v>
      </c>
      <c r="E4" s="7" t="s">
        <v>2</v>
      </c>
      <c r="F4" s="31"/>
    </row>
    <row r="5" spans="2:6" ht="17.25" x14ac:dyDescent="0.3">
      <c r="B5" s="32" t="s">
        <v>6</v>
      </c>
      <c r="C5" s="8">
        <f>C22</f>
        <v>32030</v>
      </c>
      <c r="D5" s="8">
        <f>+D22</f>
        <v>0</v>
      </c>
      <c r="E5" s="8">
        <f>C5-D5</f>
        <v>32030</v>
      </c>
      <c r="F5" s="31"/>
    </row>
    <row r="6" spans="2:6" ht="17.25" x14ac:dyDescent="0.3">
      <c r="B6" s="32" t="s">
        <v>7</v>
      </c>
      <c r="C6" s="8">
        <f>+C37</f>
        <v>31270</v>
      </c>
      <c r="D6" s="8">
        <f>+D37</f>
        <v>0</v>
      </c>
      <c r="E6" s="8">
        <f>C6-D6</f>
        <v>31270</v>
      </c>
      <c r="F6" s="31"/>
    </row>
    <row r="7" spans="2:6" ht="17.25" x14ac:dyDescent="0.3">
      <c r="B7" s="32" t="s">
        <v>45</v>
      </c>
      <c r="C7" s="8">
        <f>+C5-C6</f>
        <v>760</v>
      </c>
      <c r="D7" s="8">
        <f>+D5-D6</f>
        <v>0</v>
      </c>
      <c r="E7" s="8">
        <f>C7-D7</f>
        <v>760</v>
      </c>
      <c r="F7" s="31"/>
    </row>
    <row r="8" spans="2:6" ht="8.1" customHeight="1" x14ac:dyDescent="0.3">
      <c r="B8" s="30"/>
      <c r="C8" s="33"/>
      <c r="D8" s="33"/>
      <c r="E8" s="33"/>
      <c r="F8" s="31"/>
    </row>
    <row r="9" spans="2:6" ht="15" x14ac:dyDescent="0.25">
      <c r="B9" s="34" t="s">
        <v>8</v>
      </c>
      <c r="C9" s="7" t="s">
        <v>0</v>
      </c>
      <c r="D9" s="7" t="s">
        <v>1</v>
      </c>
      <c r="E9" s="7" t="s">
        <v>2</v>
      </c>
      <c r="F9" s="35" t="s">
        <v>31</v>
      </c>
    </row>
    <row r="10" spans="2:6" ht="17.25" x14ac:dyDescent="0.25">
      <c r="B10" s="36" t="s">
        <v>9</v>
      </c>
      <c r="C10" s="9"/>
      <c r="D10" s="9"/>
      <c r="E10" s="10"/>
      <c r="F10" s="37"/>
    </row>
    <row r="11" spans="2:6" ht="17.25" x14ac:dyDescent="0.25">
      <c r="B11" s="38" t="s">
        <v>13</v>
      </c>
      <c r="C11" s="12">
        <v>1500</v>
      </c>
      <c r="D11" s="12">
        <v>0</v>
      </c>
      <c r="E11" s="13">
        <f>D11-C11</f>
        <v>-1500</v>
      </c>
      <c r="F11" s="53" t="s">
        <v>46</v>
      </c>
    </row>
    <row r="12" spans="2:6" ht="17.25" x14ac:dyDescent="0.25">
      <c r="B12" s="38" t="s">
        <v>16</v>
      </c>
      <c r="C12" s="12">
        <f>12*8*5</f>
        <v>480</v>
      </c>
      <c r="D12" s="12">
        <v>0</v>
      </c>
      <c r="E12" s="13">
        <f t="shared" ref="E12:E20" si="0">D12-C12</f>
        <v>-480</v>
      </c>
      <c r="F12" s="53" t="s">
        <v>47</v>
      </c>
    </row>
    <row r="13" spans="2:6" ht="17.25" x14ac:dyDescent="0.25">
      <c r="B13" s="38" t="s">
        <v>17</v>
      </c>
      <c r="C13" s="12">
        <v>20000</v>
      </c>
      <c r="D13" s="12">
        <v>0</v>
      </c>
      <c r="E13" s="13">
        <f t="shared" si="0"/>
        <v>-20000</v>
      </c>
      <c r="F13" s="53" t="s">
        <v>48</v>
      </c>
    </row>
    <row r="14" spans="2:6" ht="17.25" x14ac:dyDescent="0.25">
      <c r="B14" s="38" t="s">
        <v>18</v>
      </c>
      <c r="C14" s="12">
        <f>50*100</f>
        <v>5000</v>
      </c>
      <c r="D14" s="12">
        <v>0</v>
      </c>
      <c r="E14" s="13">
        <f t="shared" si="0"/>
        <v>-5000</v>
      </c>
      <c r="F14" s="53" t="s">
        <v>49</v>
      </c>
    </row>
    <row r="15" spans="2:6" ht="17.25" x14ac:dyDescent="0.25">
      <c r="B15" s="38" t="s">
        <v>42</v>
      </c>
      <c r="C15" s="12">
        <v>0</v>
      </c>
      <c r="D15" s="12">
        <v>0</v>
      </c>
      <c r="E15" s="13">
        <f t="shared" si="0"/>
        <v>0</v>
      </c>
      <c r="F15" s="53" t="s">
        <v>50</v>
      </c>
    </row>
    <row r="16" spans="2:6" ht="17.25" x14ac:dyDescent="0.25">
      <c r="B16" s="38" t="s">
        <v>19</v>
      </c>
      <c r="C16" s="12">
        <v>0</v>
      </c>
      <c r="D16" s="12">
        <v>0</v>
      </c>
      <c r="E16" s="13">
        <f t="shared" si="0"/>
        <v>0</v>
      </c>
      <c r="F16" s="53"/>
    </row>
    <row r="17" spans="2:6" ht="17.25" x14ac:dyDescent="0.25">
      <c r="B17" s="38" t="s">
        <v>14</v>
      </c>
      <c r="C17" s="12">
        <v>0</v>
      </c>
      <c r="D17" s="12">
        <v>0</v>
      </c>
      <c r="E17" s="13">
        <f t="shared" si="0"/>
        <v>0</v>
      </c>
      <c r="F17" s="53"/>
    </row>
    <row r="18" spans="2:6" ht="17.25" x14ac:dyDescent="0.25">
      <c r="B18" s="38" t="s">
        <v>12</v>
      </c>
      <c r="C18" s="12">
        <v>5000</v>
      </c>
      <c r="D18" s="12">
        <v>0</v>
      </c>
      <c r="E18" s="13">
        <f t="shared" si="0"/>
        <v>-5000</v>
      </c>
      <c r="F18" s="53" t="s">
        <v>51</v>
      </c>
    </row>
    <row r="19" spans="2:6" ht="17.25" x14ac:dyDescent="0.25">
      <c r="B19" s="38" t="s">
        <v>20</v>
      </c>
      <c r="C19" s="12">
        <v>50</v>
      </c>
      <c r="D19" s="12">
        <v>0</v>
      </c>
      <c r="E19" s="13">
        <f t="shared" si="0"/>
        <v>-50</v>
      </c>
      <c r="F19" s="53" t="s">
        <v>52</v>
      </c>
    </row>
    <row r="20" spans="2:6" ht="17.25" x14ac:dyDescent="0.25">
      <c r="B20" s="38" t="s">
        <v>15</v>
      </c>
      <c r="C20" s="12">
        <v>0</v>
      </c>
      <c r="D20" s="12">
        <v>0</v>
      </c>
      <c r="E20" s="13">
        <f t="shared" si="0"/>
        <v>0</v>
      </c>
      <c r="F20" s="53"/>
    </row>
    <row r="21" spans="2:6" ht="17.25" x14ac:dyDescent="0.3">
      <c r="B21" s="38"/>
      <c r="C21" s="14"/>
      <c r="D21" s="14"/>
      <c r="E21" s="15"/>
      <c r="F21" s="39"/>
    </row>
    <row r="22" spans="2:6" ht="15" x14ac:dyDescent="0.25">
      <c r="B22" s="34" t="s">
        <v>34</v>
      </c>
      <c r="C22" s="16">
        <f>SUM(C11:C20)</f>
        <v>32030</v>
      </c>
      <c r="D22" s="16">
        <f>SUM(D11:D20)</f>
        <v>0</v>
      </c>
      <c r="E22" s="16">
        <f>SUM(E11:E20)</f>
        <v>-32030</v>
      </c>
      <c r="F22" s="40">
        <f>SUM(F11:F20)</f>
        <v>0</v>
      </c>
    </row>
    <row r="23" spans="2:6" ht="8.1" customHeight="1" x14ac:dyDescent="0.3">
      <c r="B23" s="32"/>
      <c r="C23" s="41"/>
      <c r="D23" s="41"/>
      <c r="E23" s="41"/>
      <c r="F23" s="42"/>
    </row>
    <row r="24" spans="2:6" ht="15" x14ac:dyDescent="0.25">
      <c r="B24" s="43" t="s">
        <v>10</v>
      </c>
      <c r="C24" s="7" t="s">
        <v>0</v>
      </c>
      <c r="D24" s="7" t="s">
        <v>1</v>
      </c>
      <c r="E24" s="7" t="s">
        <v>2</v>
      </c>
      <c r="F24" s="44" t="s">
        <v>31</v>
      </c>
    </row>
    <row r="25" spans="2:6" ht="17.25" x14ac:dyDescent="0.25">
      <c r="B25" s="36" t="s">
        <v>33</v>
      </c>
      <c r="C25" s="9"/>
      <c r="D25" s="9"/>
      <c r="E25" s="17"/>
      <c r="F25" s="45"/>
    </row>
    <row r="26" spans="2:6" ht="17.25" x14ac:dyDescent="0.25">
      <c r="B26" s="38" t="s">
        <v>11</v>
      </c>
      <c r="C26" s="12">
        <v>4500</v>
      </c>
      <c r="D26" s="12">
        <v>0</v>
      </c>
      <c r="E26" s="13">
        <f>+C26-D26</f>
        <v>4500</v>
      </c>
      <c r="F26" s="53" t="s">
        <v>53</v>
      </c>
    </row>
    <row r="27" spans="2:6" ht="17.25" x14ac:dyDescent="0.25">
      <c r="B27" s="38" t="s">
        <v>21</v>
      </c>
      <c r="C27" s="12">
        <v>10000</v>
      </c>
      <c r="D27" s="12">
        <v>0</v>
      </c>
      <c r="E27" s="13">
        <f t="shared" ref="E27:E35" si="1">+C27-D27</f>
        <v>10000</v>
      </c>
      <c r="F27" s="53" t="s">
        <v>54</v>
      </c>
    </row>
    <row r="28" spans="2:6" ht="17.25" x14ac:dyDescent="0.25">
      <c r="B28" s="38" t="s">
        <v>22</v>
      </c>
      <c r="C28" s="12">
        <v>13200</v>
      </c>
      <c r="D28" s="12">
        <v>0</v>
      </c>
      <c r="E28" s="13">
        <f t="shared" si="1"/>
        <v>13200</v>
      </c>
      <c r="F28" s="53" t="s">
        <v>55</v>
      </c>
    </row>
    <row r="29" spans="2:6" ht="17.25" x14ac:dyDescent="0.25">
      <c r="B29" s="38" t="s">
        <v>23</v>
      </c>
      <c r="C29" s="12">
        <v>0</v>
      </c>
      <c r="D29" s="12">
        <v>0</v>
      </c>
      <c r="E29" s="13">
        <f t="shared" si="1"/>
        <v>0</v>
      </c>
      <c r="F29" s="53"/>
    </row>
    <row r="30" spans="2:6" ht="17.25" x14ac:dyDescent="0.25">
      <c r="B30" s="38" t="s">
        <v>43</v>
      </c>
      <c r="C30" s="12">
        <v>1500</v>
      </c>
      <c r="D30" s="12">
        <v>0</v>
      </c>
      <c r="E30" s="13">
        <f t="shared" si="1"/>
        <v>1500</v>
      </c>
      <c r="F30" s="53" t="s">
        <v>56</v>
      </c>
    </row>
    <row r="31" spans="2:6" ht="17.25" x14ac:dyDescent="0.25">
      <c r="B31" s="38" t="s">
        <v>24</v>
      </c>
      <c r="C31" s="12">
        <v>650</v>
      </c>
      <c r="D31" s="12">
        <v>0</v>
      </c>
      <c r="E31" s="13">
        <f t="shared" si="1"/>
        <v>650</v>
      </c>
      <c r="F31" s="53" t="s">
        <v>57</v>
      </c>
    </row>
    <row r="32" spans="2:6" ht="17.25" x14ac:dyDescent="0.25">
      <c r="B32" s="38" t="s">
        <v>44</v>
      </c>
      <c r="C32" s="12">
        <v>120</v>
      </c>
      <c r="D32" s="12">
        <v>0</v>
      </c>
      <c r="E32" s="13">
        <f t="shared" si="1"/>
        <v>120</v>
      </c>
      <c r="F32" s="53" t="s">
        <v>58</v>
      </c>
    </row>
    <row r="33" spans="2:6" ht="17.25" x14ac:dyDescent="0.25">
      <c r="B33" s="38" t="s">
        <v>25</v>
      </c>
      <c r="C33" s="12">
        <v>100</v>
      </c>
      <c r="D33" s="12">
        <v>0</v>
      </c>
      <c r="E33" s="13">
        <f t="shared" si="1"/>
        <v>100</v>
      </c>
      <c r="F33" s="53" t="s">
        <v>59</v>
      </c>
    </row>
    <row r="34" spans="2:6" ht="17.25" x14ac:dyDescent="0.25">
      <c r="B34" s="38" t="s">
        <v>26</v>
      </c>
      <c r="C34" s="12">
        <v>1200</v>
      </c>
      <c r="D34" s="12">
        <v>0</v>
      </c>
      <c r="E34" s="13">
        <f t="shared" si="1"/>
        <v>1200</v>
      </c>
      <c r="F34" s="53" t="s">
        <v>60</v>
      </c>
    </row>
    <row r="35" spans="2:6" ht="17.25" x14ac:dyDescent="0.25">
      <c r="B35" s="38" t="s">
        <v>15</v>
      </c>
      <c r="C35" s="12">
        <v>0</v>
      </c>
      <c r="D35" s="12">
        <v>0</v>
      </c>
      <c r="E35" s="13">
        <f t="shared" si="1"/>
        <v>0</v>
      </c>
      <c r="F35" s="53"/>
    </row>
    <row r="36" spans="2:6" ht="17.25" x14ac:dyDescent="0.25">
      <c r="B36" s="38"/>
      <c r="C36" s="11"/>
      <c r="D36" s="11"/>
      <c r="E36" s="13"/>
      <c r="F36" s="46"/>
    </row>
    <row r="37" spans="2:6" ht="15" x14ac:dyDescent="0.25">
      <c r="B37" s="34" t="s">
        <v>35</v>
      </c>
      <c r="C37" s="18">
        <f>SUM(C26:C35)</f>
        <v>31270</v>
      </c>
      <c r="D37" s="18">
        <f>SUM(D26:D35)</f>
        <v>0</v>
      </c>
      <c r="E37" s="18">
        <f>SUM(E26:E35)</f>
        <v>31270</v>
      </c>
      <c r="F37" s="47"/>
    </row>
    <row r="38" spans="2:6" ht="8.1" customHeight="1" x14ac:dyDescent="0.25">
      <c r="B38" s="48"/>
      <c r="C38" s="19"/>
      <c r="D38" s="19"/>
      <c r="E38" s="20"/>
      <c r="F38" s="49"/>
    </row>
    <row r="39" spans="2:6" ht="15.75" thickBot="1" x14ac:dyDescent="0.3">
      <c r="B39" s="50" t="s">
        <v>4</v>
      </c>
      <c r="C39" s="51">
        <f>+C22-C37</f>
        <v>760</v>
      </c>
      <c r="D39" s="51">
        <f>+D22-D37</f>
        <v>0</v>
      </c>
      <c r="E39" s="51">
        <f>+E22-E37</f>
        <v>-63300</v>
      </c>
      <c r="F39" s="52"/>
    </row>
    <row r="40" spans="2:6" ht="10.9" customHeight="1" x14ac:dyDescent="0.25"/>
  </sheetData>
  <conditionalFormatting sqref="E10:E21">
    <cfRule type="expression" dxfId="3" priority="3">
      <formula>E10&gt;0</formula>
    </cfRule>
    <cfRule type="expression" dxfId="2" priority="4">
      <formula xml:space="preserve"> E10&lt;0</formula>
    </cfRule>
  </conditionalFormatting>
  <conditionalFormatting sqref="E25:E36">
    <cfRule type="expression" dxfId="1" priority="1">
      <formula>E25&gt;0</formula>
    </cfRule>
    <cfRule type="expression" dxfId="0" priority="2">
      <formula>E25&lt;0</formula>
    </cfRule>
  </conditionalFormatting>
  <pageMargins left="0.3" right="0.3" top="0.3" bottom="0.3" header="0" footer="0"/>
  <pageSetup scale="73" fitToHeight="0" orientation="landscape"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Annual Budget</vt:lpstr>
      <vt:lpstr>Budget Example</vt:lpstr>
      <vt:lpstr>'Annual Budget'!Print_Area</vt:lpstr>
      <vt:lpstr>'Budget Example'!Print_Area</vt:lpstr>
    </vt:vector>
  </TitlesOfParts>
  <Manager/>
  <Company>Smartsheet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Jared Gorai</cp:lastModifiedBy>
  <cp:revision/>
  <cp:lastPrinted>2021-12-09T15:27:05Z</cp:lastPrinted>
  <dcterms:created xsi:type="dcterms:W3CDTF">2015-09-24T17:51:54Z</dcterms:created>
  <dcterms:modified xsi:type="dcterms:W3CDTF">2022-01-22T14:48:55Z</dcterms:modified>
  <cp:category/>
  <cp:contentStatus/>
</cp:coreProperties>
</file>